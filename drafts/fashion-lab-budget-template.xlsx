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template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color rgb="0000000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F3EDE6"/>
      </patternFill>
    </fill>
    <fill>
      <patternFill patternType="solid">
        <fgColor rgb="00FFF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164" fontId="3" fillId="3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164" fontId="2" fillId="2" borderId="0" applyAlignment="1" pivotButton="0" quotePrefix="0" xfId="0">
      <alignment horizontal="right"/>
    </xf>
    <xf numFmtId="0" fontId="4" fillId="3" borderId="0" pivotButton="0" quotePrefix="0" xfId="0"/>
    <xf numFmtId="164" fontId="4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44" customWidth="1" min="5" max="5"/>
  </cols>
  <sheetData>
    <row r="1">
      <c r="A1" s="1" t="inlineStr">
        <is>
          <t>Fashion Lab — Operating Budget Template (Sedona reference numbers, rounded)</t>
        </is>
      </c>
    </row>
    <row r="2">
      <c r="A2" s="2" t="inlineStr">
        <is>
          <t>Line</t>
        </is>
      </c>
      <c r="B2" s="2" t="inlineStr">
        <is>
          <t>Sedona 2025</t>
        </is>
      </c>
      <c r="C2" s="2" t="inlineStr">
        <is>
          <t>Sedona 2026</t>
        </is>
      </c>
      <c r="D2" s="2" t="inlineStr">
        <is>
          <t>Your town</t>
        </is>
      </c>
      <c r="E2" s="2" t="inlineStr">
        <is>
          <t>Notes</t>
        </is>
      </c>
    </row>
    <row r="3">
      <c r="A3" s="3" t="inlineStr">
        <is>
          <t>INCOME</t>
        </is>
      </c>
      <c r="B3" s="4" t="n"/>
      <c r="C3" s="4" t="n"/>
      <c r="D3" s="4" t="n"/>
      <c r="E3" s="3" t="n"/>
    </row>
    <row r="4">
      <c r="A4" t="inlineStr">
        <is>
          <t>Event sponsors &amp; underwriters</t>
        </is>
      </c>
      <c r="B4" s="5" t="n">
        <v>4000</v>
      </c>
      <c r="C4" s="5" t="n">
        <v>3000</v>
      </c>
      <c r="D4" s="6" t="n"/>
      <c r="E4" t="inlineStr">
        <is>
          <t>Three sponsors in 2026</t>
        </is>
      </c>
    </row>
    <row r="5">
      <c r="A5" t="inlineStr">
        <is>
          <t>Boutique sponsors</t>
        </is>
      </c>
      <c r="B5" s="5" t="n">
        <v>1750</v>
      </c>
      <c r="C5" s="5" t="n">
        <v>1500</v>
      </c>
      <c r="D5" s="6" t="n"/>
      <c r="E5" t="inlineStr">
        <is>
          <t>$1,500 per boutique; aim for three</t>
        </is>
      </c>
    </row>
    <row r="6">
      <c r="A6" t="inlineStr">
        <is>
          <t>Sensational Sedonans (program ads)</t>
        </is>
      </c>
      <c r="B6" s="5" t="n">
        <v>1800</v>
      </c>
      <c r="C6" s="5" t="n">
        <v>1800</v>
      </c>
      <c r="D6" s="6" t="n"/>
      <c r="E6" t="inlineStr">
        <is>
          <t>$200 each; 12 is the target</t>
        </is>
      </c>
    </row>
    <row r="7">
      <c r="A7" t="inlineStr">
        <is>
          <t>Program ads</t>
        </is>
      </c>
      <c r="B7" s="5" t="n">
        <v>200</v>
      </c>
      <c r="C7" s="5" t="n">
        <v>700</v>
      </c>
      <c r="D7" s="6" t="n"/>
      <c r="E7" t="inlineStr">
        <is>
          <t>$50–$250 per ad</t>
        </is>
      </c>
    </row>
    <row r="8">
      <c r="A8" t="inlineStr">
        <is>
          <t>Designer registrations</t>
        </is>
      </c>
      <c r="B8" s="5" t="n">
        <v>1580</v>
      </c>
      <c r="C8" s="5" t="n">
        <v>1700</v>
      </c>
      <c r="D8" s="6" t="n"/>
      <c r="E8" t="inlineStr">
        <is>
          <t>$100 each</t>
        </is>
      </c>
    </row>
    <row r="9">
      <c r="A9" t="inlineStr">
        <is>
          <t>Vendor tables</t>
        </is>
      </c>
      <c r="B9" s="5" t="n">
        <v>600</v>
      </c>
      <c r="C9" s="5" t="n">
        <v>1250</v>
      </c>
      <c r="D9" s="6" t="n"/>
      <c r="E9" t="inlineStr">
        <is>
          <t>$200 each</t>
        </is>
      </c>
    </row>
    <row r="10">
      <c r="A10" t="inlineStr">
        <is>
          <t>Tickets</t>
        </is>
      </c>
      <c r="B10" s="5" t="n">
        <v>641</v>
      </c>
      <c r="C10" s="5" t="n">
        <v>3555</v>
      </c>
      <c r="D10" s="6" t="n"/>
      <c r="E10" t="inlineStr">
        <is>
          <t>Early bird $30, VIP $100</t>
        </is>
      </c>
    </row>
    <row r="11">
      <c r="A11" t="inlineStr">
        <is>
          <t>Raffle</t>
        </is>
      </c>
      <c r="B11" s="5" t="n">
        <v>500</v>
      </c>
      <c r="C11" s="5" t="n">
        <v>500</v>
      </c>
      <c r="D11" s="6" t="n"/>
      <c r="E11" t="inlineStr">
        <is>
          <t>10–12 high-end items</t>
        </is>
      </c>
    </row>
    <row r="12">
      <c r="A12" t="inlineStr">
        <is>
          <t>City grant</t>
        </is>
      </c>
      <c r="B12" s="5" t="n">
        <v>5000</v>
      </c>
      <c r="C12" s="5" t="n">
        <v>0</v>
      </c>
      <c r="D12" s="6" t="n"/>
      <c r="E12" t="inlineStr">
        <is>
          <t>Small community grant, year one</t>
        </is>
      </c>
    </row>
    <row r="13">
      <c r="A13" s="2" t="inlineStr">
        <is>
          <t>TOTAL INCOME</t>
        </is>
      </c>
      <c r="B13" s="7">
        <f>SUM(B4:B12)</f>
        <v/>
      </c>
      <c r="C13" s="7">
        <f>SUM(C4:C12)</f>
        <v/>
      </c>
      <c r="D13" s="7">
        <f>SUM(D4:D12)</f>
        <v/>
      </c>
      <c r="E13" s="2" t="n"/>
    </row>
    <row r="14">
      <c r="A14" s="3" t="inlineStr">
        <is>
          <t>EXPENSES · 48 Hour Create-a-Thon</t>
        </is>
      </c>
      <c r="B14" s="4" t="n"/>
      <c r="C14" s="4" t="n"/>
      <c r="D14" s="4" t="n"/>
      <c r="E14" s="3" t="n"/>
    </row>
    <row r="15">
      <c r="A15" t="inlineStr">
        <is>
          <t>Studio / location</t>
        </is>
      </c>
      <c r="B15" s="5" t="n">
        <v>0</v>
      </c>
      <c r="C15" s="5" t="n">
        <v>0</v>
      </c>
      <c r="D15" s="6" t="n"/>
      <c r="E15" t="inlineStr">
        <is>
          <t>Donated in Sedona (worth ~$2,000)</t>
        </is>
      </c>
    </row>
    <row r="16">
      <c r="A16" t="inlineStr">
        <is>
          <t>Location cleaning</t>
        </is>
      </c>
      <c r="B16" s="5" t="n">
        <v>200</v>
      </c>
      <c r="C16" s="5" t="n">
        <v>250</v>
      </c>
      <c r="D16" s="6" t="n"/>
    </row>
    <row r="17">
      <c r="A17" t="inlineStr">
        <is>
          <t>Food for 48 hours</t>
        </is>
      </c>
      <c r="B17" s="5" t="n">
        <v>441</v>
      </c>
      <c r="C17" s="5" t="n">
        <v>490</v>
      </c>
      <c r="D17" s="6" t="n"/>
      <c r="E17" t="inlineStr">
        <is>
          <t>Get pizza donated</t>
        </is>
      </c>
    </row>
    <row r="18">
      <c r="A18" t="inlineStr">
        <is>
          <t>Supplies</t>
        </is>
      </c>
      <c r="B18" s="5" t="n">
        <v>157</v>
      </c>
      <c r="C18" s="5" t="n">
        <v>281</v>
      </c>
      <c r="D18" s="6" t="n"/>
      <c r="E18" t="inlineStr">
        <is>
          <t>More ironing boards than you think</t>
        </is>
      </c>
    </row>
    <row r="19">
      <c r="A19" s="8" t="inlineStr">
        <is>
          <t>Subtotal</t>
        </is>
      </c>
      <c r="B19" s="9">
        <f>SUM(B15:B18)</f>
        <v/>
      </c>
      <c r="C19" s="9">
        <f>SUM(C15:C18)</f>
        <v/>
      </c>
      <c r="D19" s="9">
        <f>SUM(D15:D18)</f>
        <v/>
      </c>
      <c r="E19" s="8" t="n"/>
    </row>
    <row r="20">
      <c r="A20" s="3" t="inlineStr">
        <is>
          <t>EXPENSES · Fashion Show</t>
        </is>
      </c>
      <c r="B20" s="4" t="n"/>
      <c r="C20" s="4" t="n"/>
      <c r="D20" s="4" t="n"/>
      <c r="E20" s="3" t="n"/>
    </row>
    <row r="21">
      <c r="A21" t="inlineStr">
        <is>
          <t>Venue rental</t>
        </is>
      </c>
      <c r="B21" s="5" t="n">
        <v>1275</v>
      </c>
      <c r="C21" s="5" t="n">
        <v>2500</v>
      </c>
      <c r="D21" s="6" t="n"/>
    </row>
    <row r="22">
      <c r="A22" t="inlineStr">
        <is>
          <t>Event insurance</t>
        </is>
      </c>
      <c r="B22" s="5" t="n">
        <v>263</v>
      </c>
      <c r="C22" s="5" t="n">
        <v>263</v>
      </c>
      <c r="D22" s="6" t="n"/>
    </row>
    <row r="23">
      <c r="A23" t="inlineStr">
        <is>
          <t>Pipe and drape, runway</t>
        </is>
      </c>
      <c r="B23" s="5" t="n">
        <v>1564</v>
      </c>
      <c r="C23" s="5" t="n">
        <v>1387</v>
      </c>
      <c r="D23" s="6" t="n"/>
    </row>
    <row r="24">
      <c r="A24" t="inlineStr">
        <is>
          <t>Lighting</t>
        </is>
      </c>
      <c r="B24" s="5" t="n">
        <v>0</v>
      </c>
      <c r="C24" s="5" t="n">
        <v>300</v>
      </c>
      <c r="D24" s="6" t="n"/>
      <c r="E24" t="inlineStr">
        <is>
          <t>Rent more than you think</t>
        </is>
      </c>
    </row>
    <row r="25">
      <c r="A25" t="inlineStr">
        <is>
          <t>Video</t>
        </is>
      </c>
      <c r="B25" s="5" t="n">
        <v>1500</v>
      </c>
      <c r="C25" s="5" t="n">
        <v>2040</v>
      </c>
      <c r="D25" s="6" t="n"/>
    </row>
    <row r="26">
      <c r="A26" t="inlineStr">
        <is>
          <t>Photography</t>
        </is>
      </c>
      <c r="B26" s="5" t="n">
        <v>250</v>
      </c>
      <c r="C26" s="5" t="n">
        <v>250</v>
      </c>
      <c r="D26" s="6" t="n"/>
      <c r="E26" t="inlineStr">
        <is>
          <t>Often partly donated</t>
        </is>
      </c>
    </row>
    <row r="27">
      <c r="A27" t="inlineStr">
        <is>
          <t>Director / producer</t>
        </is>
      </c>
      <c r="B27" s="5" t="n">
        <v>200</v>
      </c>
      <c r="C27" s="5" t="n">
        <v>500</v>
      </c>
      <c r="D27" s="6" t="n"/>
    </row>
    <row r="28">
      <c r="A28" t="inlineStr">
        <is>
          <t>VIP reception</t>
        </is>
      </c>
      <c r="B28" s="5" t="n">
        <v>674</v>
      </c>
      <c r="C28" s="5" t="n">
        <v>543</v>
      </c>
      <c r="D28" s="6" t="n"/>
      <c r="E28" t="inlineStr">
        <is>
          <t>20 VIPs</t>
        </is>
      </c>
    </row>
    <row r="29">
      <c r="A29" t="inlineStr">
        <is>
          <t>Trophy, raffle tickets, linens, signs</t>
        </is>
      </c>
      <c r="B29" s="5" t="n">
        <v>210</v>
      </c>
      <c r="C29" s="5" t="n">
        <v>366</v>
      </c>
      <c r="D29" s="6" t="n"/>
    </row>
    <row r="30">
      <c r="A30" t="inlineStr">
        <is>
          <t>Jumbotron / screen</t>
        </is>
      </c>
      <c r="B30" s="5" t="n">
        <v>0</v>
      </c>
      <c r="C30" s="5" t="n">
        <v>500</v>
      </c>
      <c r="D30" s="6" t="n"/>
      <c r="E30" t="inlineStr">
        <is>
          <t>Optional</t>
        </is>
      </c>
    </row>
    <row r="31">
      <c r="A31" t="inlineStr">
        <is>
          <t>Parking / shuttle</t>
        </is>
      </c>
      <c r="B31" s="5" t="n">
        <v>0</v>
      </c>
      <c r="C31" s="5" t="n">
        <v>1400</v>
      </c>
      <c r="D31" s="6" t="n"/>
      <c r="E31" t="inlineStr">
        <is>
          <t>Only if the venue needs it</t>
        </is>
      </c>
    </row>
    <row r="32">
      <c r="A32" t="inlineStr">
        <is>
          <t>Sales commissions</t>
        </is>
      </c>
      <c r="B32" s="5" t="n">
        <v>965</v>
      </c>
      <c r="C32" s="5" t="n">
        <v>0</v>
      </c>
      <c r="D32" s="6" t="n"/>
    </row>
    <row r="33">
      <c r="A33" s="8" t="inlineStr">
        <is>
          <t>Subtotal</t>
        </is>
      </c>
      <c r="B33" s="9">
        <f>SUM(B21:B32)</f>
        <v/>
      </c>
      <c r="C33" s="9">
        <f>SUM(C21:C32)</f>
        <v/>
      </c>
      <c r="D33" s="9">
        <f>SUM(D21:D32)</f>
        <v/>
      </c>
      <c r="E33" s="8" t="n"/>
    </row>
    <row r="34">
      <c r="A34" s="3" t="inlineStr">
        <is>
          <t>EXPENSES · Award, publicity, online, pop-ups</t>
        </is>
      </c>
      <c r="B34" s="4" t="n"/>
      <c r="C34" s="4" t="n"/>
      <c r="D34" s="4" t="n"/>
      <c r="E34" s="3" t="n"/>
    </row>
    <row r="35">
      <c r="A35" t="inlineStr">
        <is>
          <t>Cash scholarship</t>
        </is>
      </c>
      <c r="B35" s="5" t="n">
        <v>1000</v>
      </c>
      <c r="C35" s="5" t="n">
        <v>1000</v>
      </c>
      <c r="D35" s="6" t="n"/>
      <c r="E35" t="inlineStr">
        <is>
          <t>+ $4,000 courses donated by FABRIC</t>
        </is>
      </c>
    </row>
    <row r="36">
      <c r="A36" t="inlineStr">
        <is>
          <t>Printing</t>
        </is>
      </c>
      <c r="B36" s="5" t="n">
        <v>786</v>
      </c>
      <c r="C36" s="5" t="n">
        <v>1420</v>
      </c>
      <c r="D36" s="6" t="n"/>
      <c r="E36" t="inlineStr">
        <is>
          <t>The printed program is the big one</t>
        </is>
      </c>
    </row>
    <row r="37">
      <c r="A37" t="inlineStr">
        <is>
          <t>Website hosting &amp; social scheduling</t>
        </is>
      </c>
      <c r="B37" s="5" t="n">
        <v>366</v>
      </c>
      <c r="C37" s="5" t="n">
        <v>296</v>
      </c>
      <c r="D37" s="6" t="n"/>
    </row>
    <row r="38">
      <c r="A38" t="inlineStr">
        <is>
          <t>Pop-up events</t>
        </is>
      </c>
      <c r="B38" s="5" t="n">
        <v>500</v>
      </c>
      <c r="C38" s="5" t="n">
        <v>0</v>
      </c>
      <c r="D38" s="6" t="n"/>
    </row>
    <row r="39">
      <c r="A39" s="8" t="inlineStr">
        <is>
          <t>Subtotal</t>
        </is>
      </c>
      <c r="B39" s="9">
        <f>SUM(B35:B38)</f>
        <v/>
      </c>
      <c r="C39" s="9">
        <f>SUM(C35:C38)</f>
        <v/>
      </c>
      <c r="D39" s="9">
        <f>SUM(D35:D38)</f>
        <v/>
      </c>
      <c r="E39" s="8" t="n"/>
    </row>
    <row r="40">
      <c r="A40" s="2" t="inlineStr">
        <is>
          <t>TOTAL EXPENSES</t>
        </is>
      </c>
      <c r="B40" s="7">
        <f>B19+B33+B39</f>
        <v/>
      </c>
      <c r="C40" s="7">
        <f>C19+C33+C39</f>
        <v/>
      </c>
      <c r="D40" s="7">
        <f>D19+D33+D39</f>
        <v/>
      </c>
      <c r="E40" s="2" t="n"/>
    </row>
    <row r="41">
      <c r="A41" s="2" t="inlineStr">
        <is>
          <t>NET</t>
        </is>
      </c>
      <c r="B41" s="7">
        <f>B13-B40</f>
        <v/>
      </c>
      <c r="C41" s="7">
        <f>C13-C40</f>
        <v/>
      </c>
      <c r="D41" s="7">
        <f>D13-D40</f>
        <v/>
      </c>
      <c r="E4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2" max="2"/>
    <col width="70" customWidth="1" min="3" max="3"/>
  </cols>
  <sheetData>
    <row r="1">
      <c r="A1" t="inlineStr">
        <is>
          <t>#</t>
        </is>
      </c>
      <c r="B1" t="inlineStr">
        <is>
          <t>Role</t>
        </is>
      </c>
      <c r="C1" t="inlineStr">
        <is>
          <t>Owns</t>
        </is>
      </c>
    </row>
    <row r="2">
      <c r="A2" t="n">
        <v>1</v>
      </c>
      <c r="B2" t="inlineStr">
        <is>
          <t>Producer</t>
        </is>
      </c>
      <c r="C2" t="inlineStr">
        <is>
          <t>Vision, budget, calendar, grants, underwriters, contracts</t>
        </is>
      </c>
    </row>
    <row r="3">
      <c r="A3" t="n">
        <v>2</v>
      </c>
      <c r="B3" t="inlineStr">
        <is>
          <t>Creative Director &amp; Runway Producer</t>
        </is>
      </c>
      <c r="C3" t="inlineStr">
        <is>
          <t>Show line-up, rehearsal, music, MC, model call, how-to-model classes</t>
        </is>
      </c>
    </row>
    <row r="4">
      <c r="A4" t="n">
        <v>3</v>
      </c>
      <c r="B4" t="inlineStr">
        <is>
          <t>Create-a-Thon Lead</t>
        </is>
      </c>
      <c r="C4" t="inlineStr">
        <is>
          <t>Designer registration, fabric drive, food, crews, judging hand-in</t>
        </is>
      </c>
    </row>
    <row r="5">
      <c r="A5" t="n">
        <v>4</v>
      </c>
      <c r="B5" t="inlineStr">
        <is>
          <t>Sensational Sedonans &amp; Boutique Lead</t>
        </is>
      </c>
      <c r="C5" t="inlineStr">
        <is>
          <t>12 local celebrities, 3 boutiques, fittings, dressers</t>
        </is>
      </c>
    </row>
    <row r="6">
      <c r="A6" t="n">
        <v>5</v>
      </c>
      <c r="B6" t="inlineStr">
        <is>
          <t>Website &amp; Program Lead</t>
        </is>
      </c>
      <c r="C6" t="inlineStr">
        <is>
          <t>Website, posters, flyers, tickets, signage, program, sponsor wall</t>
        </is>
      </c>
    </row>
    <row r="7">
      <c r="A7" t="n">
        <v>6</v>
      </c>
      <c r="B7" t="inlineStr">
        <is>
          <t>Social Media &amp; Press Lead</t>
        </is>
      </c>
      <c r="C7" t="inlineStr">
        <is>
          <t>Posts, press, hashtags, photographer and videographer</t>
        </is>
      </c>
    </row>
    <row r="8">
      <c r="A8" t="n">
        <v>7</v>
      </c>
      <c r="B8" t="inlineStr">
        <is>
          <t>Pop-Ups &amp; Workshops Lead</t>
        </is>
      </c>
      <c r="C8" t="inlineStr">
        <is>
          <t>One workshop a month: host, space, teacher</t>
        </is>
      </c>
    </row>
    <row r="9">
      <c r="A9" t="n">
        <v>8</v>
      </c>
      <c r="B9" t="inlineStr">
        <is>
          <t>Volunteers, Raffle &amp; Logistics Lead</t>
        </is>
      </c>
      <c r="C9" t="inlineStr">
        <is>
          <t>Venue, insurance, parking, reception, lanyards, raffle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t="inlineStr">
        <is>
          <t>When</t>
        </is>
      </c>
      <c r="B1" t="inlineStr">
        <is>
          <t>What</t>
        </is>
      </c>
    </row>
    <row r="2">
      <c r="A2" t="inlineStr">
        <is>
          <t>6 months out</t>
        </is>
      </c>
      <c r="B2" t="inlineStr">
        <is>
          <t>Venue, show date, Create-a-Thon weekend (one week before), update contracts, budget, city grant, ticketing, core team of 8</t>
        </is>
      </c>
    </row>
    <row r="3">
      <c r="A3" t="inlineStr">
        <is>
          <t>5–4 months out</t>
        </is>
      </c>
      <c r="B3" t="inlineStr">
        <is>
          <t>Pop-ups start; sign underwriter and 3 boutiques; website and Instagram live</t>
        </is>
      </c>
    </row>
    <row r="4">
      <c r="A4" t="inlineStr">
        <is>
          <t>3 months out</t>
        </is>
      </c>
      <c r="B4" t="inlineStr">
        <is>
          <t>Designer registration opens ($100); recruit 12 Sensational Sedonans; sell ads and vendor tables; print cards, flyers, posters</t>
        </is>
      </c>
    </row>
    <row r="5">
      <c r="A5" t="inlineStr">
        <is>
          <t>2 months out</t>
        </is>
      </c>
      <c r="B5" t="inlineStr">
        <is>
          <t>Early-bird tickets; model call; how-to-model classes; press release; raffle items</t>
        </is>
      </c>
    </row>
    <row r="6">
      <c r="A6" t="inlineStr">
        <is>
          <t>Show week −1</t>
        </is>
      </c>
      <c r="B6" t="inlineStr">
        <is>
          <t>48 Hour Create-a-Thon Fri 6pm – Sun 5pm; hand-in Sunday 3pm; Sensational Sedonan fittings</t>
        </is>
      </c>
    </row>
    <row r="7">
      <c r="A7" t="inlineStr">
        <is>
          <t>Show day</t>
        </is>
      </c>
      <c r="B7" t="inlineStr">
        <is>
          <t>11am rehearsal · 1pm hair &amp; makeup · 4pm VIP doors · 5pm show · 7pm vendor sales · 8pm out; raffle while judges decide; after party</t>
        </is>
      </c>
    </row>
    <row r="8">
      <c r="A8" t="inlineStr">
        <is>
          <t>After</t>
        </is>
      </c>
      <c r="B8" t="inlineStr">
        <is>
          <t>Photos and video out in two weeks; sponsor thank-yous; city report; lessons meeting; book next year's 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2026-10-12T20:11:51Z</dcterms:created>
  <dcterms:modified xmlns:dcterms="http://purl.org/dc/terms/" xmlns:xsi="http://www.w3.org/2001/XMLSchema-instance" xsi:type="dcterms:W3CDTF">2026-10-12T20:11:51Z</dcterms:modified>
</cp:coreProperties>
</file>