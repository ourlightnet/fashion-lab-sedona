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dona budget" sheetId="1" state="visible" r:id="rId1"/>
    <sheet xmlns:r="http://schemas.openxmlformats.org/officeDocument/2006/relationships" name="Plan by size" sheetId="2" state="visible" r:id="rId2"/>
    <sheet xmlns:r="http://schemas.openxmlformats.org/officeDocument/2006/relationships" name="Roles" sheetId="3" state="visible" r:id="rId3"/>
    <sheet xmlns:r="http://schemas.openxmlformats.org/officeDocument/2006/relationships" name="Tim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b val="1"/>
      <color rgb="00000000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F3EDE6"/>
      </patternFill>
    </fill>
    <fill>
      <patternFill patternType="solid">
        <fgColor rgb="00FFF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164" fontId="3" fillId="3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4" fontId="0" fillId="4" borderId="0" applyAlignment="1" pivotButton="0" quotePrefix="0" xfId="0">
      <alignment horizontal="right"/>
    </xf>
    <xf numFmtId="164" fontId="2" fillId="2" borderId="0" applyAlignment="1" pivotButton="0" quotePrefix="0" xfId="0">
      <alignment horizontal="right"/>
    </xf>
    <xf numFmtId="0" fontId="4" fillId="3" borderId="0" pivotButton="0" quotePrefix="0" xfId="0"/>
    <xf numFmtId="164" fontId="4" fillId="3" borderId="0" applyAlignment="1" pivotButton="0" quotePrefix="0" xfId="0">
      <alignment horizontal="right"/>
    </xf>
    <xf numFmtId="0" fontId="3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44" customWidth="1" min="5" max="5"/>
  </cols>
  <sheetData>
    <row r="1">
      <c r="A1" s="1" t="inlineStr">
        <is>
          <t>Fashion Lab — Operating Budget Template (Sedona reference numbers, rounded; in-kind gifts not included)</t>
        </is>
      </c>
    </row>
    <row r="2">
      <c r="A2" s="2" t="inlineStr">
        <is>
          <t>Line</t>
        </is>
      </c>
      <c r="B2" s="2" t="inlineStr">
        <is>
          <t>Sedona 2025</t>
        </is>
      </c>
      <c r="C2" s="2" t="inlineStr">
        <is>
          <t>Sedona 2026</t>
        </is>
      </c>
      <c r="D2" s="2" t="inlineStr">
        <is>
          <t>Your town</t>
        </is>
      </c>
      <c r="E2" s="2" t="inlineStr">
        <is>
          <t>Notes</t>
        </is>
      </c>
    </row>
    <row r="3">
      <c r="A3" s="3" t="inlineStr">
        <is>
          <t>INCOME</t>
        </is>
      </c>
      <c r="B3" s="4" t="n"/>
      <c r="C3" s="4" t="n"/>
      <c r="D3" s="4" t="n"/>
      <c r="E3" s="3" t="n"/>
    </row>
    <row r="4">
      <c r="A4" t="inlineStr">
        <is>
          <t>Event Sponsors &amp; Underwriters</t>
        </is>
      </c>
      <c r="B4" s="5" t="n">
        <v>4000</v>
      </c>
      <c r="C4" s="5" t="n">
        <v>3000</v>
      </c>
      <c r="D4" s="6" t="n"/>
      <c r="E4" t="inlineStr">
        <is>
          <t>Five sponsors in 2026, $250 – $1,000 each</t>
        </is>
      </c>
    </row>
    <row r="5">
      <c r="A5" t="inlineStr">
        <is>
          <t>Boutique Sponsors</t>
        </is>
      </c>
      <c r="B5" s="5" t="n">
        <v>1750</v>
      </c>
      <c r="C5" s="5" t="n">
        <v>1500</v>
      </c>
      <c r="D5" s="6" t="n"/>
      <c r="E5" t="inlineStr">
        <is>
          <t>$1,500 per boutique; one in 2026, aim for three</t>
        </is>
      </c>
    </row>
    <row r="6">
      <c r="A6" t="inlineStr">
        <is>
          <t>VIP Models – Sensational Sedonans + Ad in the Program</t>
        </is>
      </c>
      <c r="B6" s="5" t="n">
        <v>1800</v>
      </c>
      <c r="C6" s="5" t="n">
        <v>1600</v>
      </c>
      <c r="D6" s="6" t="n"/>
      <c r="E6" t="inlineStr">
        <is>
          <t>$200 × 8 paid in 2026; 12 is the target</t>
        </is>
      </c>
    </row>
    <row r="7">
      <c r="A7" t="inlineStr">
        <is>
          <t>Program Ads</t>
        </is>
      </c>
      <c r="B7" s="5" t="n">
        <v>200</v>
      </c>
      <c r="C7" s="5" t="n">
        <v>850</v>
      </c>
      <c r="D7" s="6" t="n"/>
      <c r="E7" t="inlineStr">
        <is>
          <t>Five ads in 2026, $100 – $250 each</t>
        </is>
      </c>
    </row>
    <row r="8">
      <c r="A8" t="inlineStr">
        <is>
          <t>Designer Registrations</t>
        </is>
      </c>
      <c r="B8" s="5" t="n">
        <v>1580</v>
      </c>
      <c r="C8" s="5" t="n">
        <v>1600</v>
      </c>
      <c r="D8" s="6" t="n"/>
      <c r="E8" t="inlineStr">
        <is>
          <t>$100 each</t>
        </is>
      </c>
    </row>
    <row r="9">
      <c r="A9" t="inlineStr">
        <is>
          <t>Vendor Tables</t>
        </is>
      </c>
      <c r="B9" s="5" t="n">
        <v>600</v>
      </c>
      <c r="C9" s="5" t="n">
        <v>1250</v>
      </c>
      <c r="D9" s="6" t="n"/>
      <c r="E9" t="inlineStr">
        <is>
          <t>Four vendors in 2026; $200 a table</t>
        </is>
      </c>
    </row>
    <row r="10">
      <c r="A10" t="inlineStr">
        <is>
          <t>Tickets</t>
        </is>
      </c>
      <c r="B10" s="5" t="n">
        <v>641</v>
      </c>
      <c r="C10" s="5" t="n">
        <v>5044</v>
      </c>
      <c r="D10" s="6" t="n"/>
      <c r="E10" t="inlineStr">
        <is>
          <t>Mostly online; early bird $30, VIP $100. After $100 in refunds</t>
        </is>
      </c>
    </row>
    <row r="11">
      <c r="A11" t="inlineStr">
        <is>
          <t>Raffle &amp; Bar</t>
        </is>
      </c>
      <c r="B11" s="5" t="n">
        <v>500</v>
      </c>
      <c r="C11" s="5" t="n">
        <v>1856</v>
      </c>
      <c r="D11" s="6" t="n"/>
      <c r="E11" t="inlineStr">
        <is>
          <t>Raffle tickets plus drink sales on the night</t>
        </is>
      </c>
    </row>
    <row r="12">
      <c r="A12" t="inlineStr">
        <is>
          <t>Workshops</t>
        </is>
      </c>
      <c r="B12" s="5" t="n">
        <v>0</v>
      </c>
      <c r="C12" s="5" t="n">
        <v>169</v>
      </c>
      <c r="D12" s="6" t="n"/>
      <c r="E12" t="inlineStr">
        <is>
          <t>Pop-up workshop fees</t>
        </is>
      </c>
    </row>
    <row r="13">
      <c r="A13" t="inlineStr">
        <is>
          <t>City Grant</t>
        </is>
      </c>
      <c r="B13" s="5" t="n">
        <v>5000</v>
      </c>
      <c r="C13" s="5" t="n">
        <v>0</v>
      </c>
      <c r="D13" s="6" t="n"/>
      <c r="E13" t="inlineStr">
        <is>
          <t>Small community grant; Sedona had one in 2025 only</t>
        </is>
      </c>
    </row>
    <row r="14">
      <c r="A14" s="2" t="inlineStr">
        <is>
          <t>TOTAL INCOME</t>
        </is>
      </c>
      <c r="B14" s="7">
        <f>SUM(B4:B13)</f>
        <v/>
      </c>
      <c r="C14" s="7">
        <f>SUM(C4:C13)</f>
        <v/>
      </c>
      <c r="D14" s="7">
        <f>SUM(D4:D13)</f>
        <v/>
      </c>
      <c r="E14" s="2" t="n"/>
    </row>
    <row r="15">
      <c r="A15" s="3" t="inlineStr">
        <is>
          <t>EXPENSES · 48 Hour Create-a-Thon</t>
        </is>
      </c>
      <c r="B15" s="4" t="n"/>
      <c r="C15" s="4" t="n"/>
      <c r="D15" s="4" t="n"/>
      <c r="E15" s="3" t="n"/>
    </row>
    <row r="16">
      <c r="A16" t="inlineStr">
        <is>
          <t>Studio / Location</t>
        </is>
      </c>
      <c r="B16" s="5" t="n">
        <v>0</v>
      </c>
      <c r="C16" s="5" t="n">
        <v>0</v>
      </c>
      <c r="D16" s="6" t="n"/>
      <c r="E16" t="inlineStr">
        <is>
          <t>Donated in Sedona (worth about $4,800)</t>
        </is>
      </c>
    </row>
    <row r="17">
      <c r="A17" t="inlineStr">
        <is>
          <t>Location Cleaning</t>
        </is>
      </c>
      <c r="B17" s="5" t="n">
        <v>200</v>
      </c>
      <c r="C17" s="5" t="n">
        <v>250</v>
      </c>
      <c r="D17" s="6" t="n"/>
    </row>
    <row r="18">
      <c r="A18" t="inlineStr">
        <is>
          <t>Food for 48 Hours</t>
        </is>
      </c>
      <c r="B18" s="5" t="n">
        <v>441</v>
      </c>
      <c r="C18" s="5" t="n">
        <v>589</v>
      </c>
      <c r="D18" s="6" t="n"/>
      <c r="E18" t="inlineStr">
        <is>
          <t>Bulk snacks, two grocery runs and juice; get pizza donated</t>
        </is>
      </c>
    </row>
    <row r="19">
      <c r="A19" t="inlineStr">
        <is>
          <t>Supplies (Scissors, Irons, Thread)</t>
        </is>
      </c>
      <c r="B19" s="5" t="n">
        <v>157</v>
      </c>
      <c r="C19" s="5" t="n">
        <v>281</v>
      </c>
      <c r="D19" s="6" t="n"/>
      <c r="E19" t="inlineStr">
        <is>
          <t>More ironing boards than you think</t>
        </is>
      </c>
    </row>
    <row r="20">
      <c r="A20" s="2" t="inlineStr">
        <is>
          <t>Subtotal</t>
        </is>
      </c>
      <c r="B20" s="7">
        <f>SUM(B16:B19)</f>
        <v/>
      </c>
      <c r="C20" s="7">
        <f>SUM(C16:C19)</f>
        <v/>
      </c>
      <c r="D20" s="7">
        <f>SUM(D16:D19)</f>
        <v/>
      </c>
      <c r="E20" s="2" t="n"/>
    </row>
    <row r="21">
      <c r="A21" s="3" t="inlineStr">
        <is>
          <t>EXPENSES · Fashion Show</t>
        </is>
      </c>
      <c r="B21" s="4" t="n"/>
      <c r="C21" s="4" t="n"/>
      <c r="D21" s="4" t="n"/>
      <c r="E21" s="3" t="n"/>
    </row>
    <row r="22">
      <c r="A22" t="inlineStr">
        <is>
          <t>Venue Rental</t>
        </is>
      </c>
      <c r="B22" s="5" t="n">
        <v>1275</v>
      </c>
      <c r="C22" s="5" t="n">
        <v>2500</v>
      </c>
      <c r="D22" s="6" t="n"/>
      <c r="E22" t="inlineStr">
        <is>
          <t>Hall + lobby + classroom, load-in to load-out</t>
        </is>
      </c>
    </row>
    <row r="23">
      <c r="A23" t="inlineStr">
        <is>
          <t>Event Insurance</t>
        </is>
      </c>
      <c r="B23" s="5" t="n">
        <v>263</v>
      </c>
      <c r="C23" s="5" t="n">
        <v>263</v>
      </c>
      <c r="D23" s="6" t="n"/>
    </row>
    <row r="24">
      <c r="A24" t="inlineStr">
        <is>
          <t>Pipe and Drape, Runway</t>
        </is>
      </c>
      <c r="B24" s="5" t="n">
        <v>1564</v>
      </c>
      <c r="C24" s="5" t="n">
        <v>1387</v>
      </c>
      <c r="D24" s="6" t="n"/>
      <c r="E24" t="inlineStr">
        <is>
          <t>Local tent and event rental company</t>
        </is>
      </c>
    </row>
    <row r="25">
      <c r="A25" t="inlineStr">
        <is>
          <t>Lighting</t>
        </is>
      </c>
      <c r="B25" s="5" t="n">
        <v>0</v>
      </c>
      <c r="C25" s="5" t="n">
        <v>375</v>
      </c>
      <c r="D25" s="6" t="n"/>
      <c r="E25" t="inlineStr">
        <is>
          <t>A lighting tech for the night; rent more light than you think</t>
        </is>
      </c>
    </row>
    <row r="26">
      <c r="A26" t="inlineStr">
        <is>
          <t>Video</t>
        </is>
      </c>
      <c r="B26" s="5" t="n">
        <v>1500</v>
      </c>
      <c r="C26" s="5" t="n">
        <v>1750</v>
      </c>
      <c r="D26" s="6" t="n"/>
      <c r="E26" t="inlineStr">
        <is>
          <t>Show filming + reels</t>
        </is>
      </c>
    </row>
    <row r="27">
      <c r="A27" t="inlineStr">
        <is>
          <t>Photography</t>
        </is>
      </c>
      <c r="B27" s="5" t="n">
        <v>250</v>
      </c>
      <c r="C27" s="5" t="n">
        <v>500</v>
      </c>
      <c r="D27" s="6" t="n"/>
      <c r="E27" t="inlineStr">
        <is>
          <t>Two photographers, who also donated $1,000 of work</t>
        </is>
      </c>
    </row>
    <row r="28">
      <c r="A28" t="inlineStr">
        <is>
          <t>Director / Producer</t>
        </is>
      </c>
      <c r="B28" s="5" t="n">
        <v>200</v>
      </c>
      <c r="C28" s="5" t="n">
        <v>500</v>
      </c>
      <c r="D28" s="6" t="n"/>
      <c r="E28" t="inlineStr">
        <is>
          <t>Plus about $4,000 of donated time</t>
        </is>
      </c>
    </row>
    <row r="29">
      <c r="A29" t="inlineStr">
        <is>
          <t>VIP Reception &amp; Bar (Food, Champagne, Wine, Beer, Juice)</t>
        </is>
      </c>
      <c r="B29" s="5" t="n">
        <v>674</v>
      </c>
      <c r="C29" s="5" t="n">
        <v>875</v>
      </c>
      <c r="D29" s="6" t="n"/>
      <c r="E29" t="inlineStr">
        <is>
          <t>20 VIPs</t>
        </is>
      </c>
    </row>
    <row r="30">
      <c r="A30" t="inlineStr">
        <is>
          <t>Trophy, Raffle Tickets, Linens, Signs, Flowers, Trash</t>
        </is>
      </c>
      <c r="B30" s="5" t="n">
        <v>210</v>
      </c>
      <c r="C30" s="5" t="n">
        <v>978</v>
      </c>
      <c r="D30" s="6" t="n"/>
      <c r="E30" t="inlineStr">
        <is>
          <t>Small items add up</t>
        </is>
      </c>
    </row>
    <row r="31">
      <c r="A31" t="inlineStr">
        <is>
          <t>Jumbotron / Screen</t>
        </is>
      </c>
      <c r="B31" s="5" t="n">
        <v>0</v>
      </c>
      <c r="C31" s="5" t="n">
        <v>0</v>
      </c>
      <c r="D31" s="6" t="n"/>
      <c r="E31" t="inlineStr">
        <is>
          <t>Optional; skipped in 2026</t>
        </is>
      </c>
    </row>
    <row r="32">
      <c r="A32" t="inlineStr">
        <is>
          <t>Parking / Shuttle</t>
        </is>
      </c>
      <c r="B32" s="5" t="n">
        <v>0</v>
      </c>
      <c r="C32" s="5" t="n">
        <v>2340</v>
      </c>
      <c r="D32" s="6" t="n"/>
      <c r="E32" t="inlineStr">
        <is>
          <t>Parking plus two shuttles. Only if your venue needs it</t>
        </is>
      </c>
    </row>
    <row r="33">
      <c r="A33" t="inlineStr">
        <is>
          <t>Student Helpers</t>
        </is>
      </c>
      <c r="B33" s="5" t="n">
        <v>0</v>
      </c>
      <c r="C33" s="5" t="n">
        <v>230</v>
      </c>
      <c r="D33" s="6" t="n"/>
      <c r="E33" t="inlineStr">
        <is>
          <t>Local students helping backstage</t>
        </is>
      </c>
    </row>
    <row r="34">
      <c r="A34" t="inlineStr">
        <is>
          <t>Sales Commissions</t>
        </is>
      </c>
      <c r="B34" s="5" t="n">
        <v>965</v>
      </c>
      <c r="C34" s="5" t="n">
        <v>545</v>
      </c>
      <c r="D34" s="6" t="n"/>
      <c r="E34" t="inlineStr">
        <is>
          <t>If someone sells sponsorships for you</t>
        </is>
      </c>
    </row>
    <row r="35">
      <c r="A35" s="2" t="inlineStr">
        <is>
          <t>Subtotal</t>
        </is>
      </c>
      <c r="B35" s="7">
        <f>SUM(B22:B34)</f>
        <v/>
      </c>
      <c r="C35" s="7">
        <f>SUM(C22:C34)</f>
        <v/>
      </c>
      <c r="D35" s="7">
        <f>SUM(D22:D34)</f>
        <v/>
      </c>
      <c r="E35" s="2" t="n"/>
    </row>
    <row r="36">
      <c r="A36" s="3" t="inlineStr">
        <is>
          <t>EXPENSES · Award, Publicity, Online, Pop-ups</t>
        </is>
      </c>
      <c r="B36" s="4" t="n"/>
      <c r="C36" s="4" t="n"/>
      <c r="D36" s="4" t="n"/>
      <c r="E36" s="3" t="n"/>
    </row>
    <row r="37">
      <c r="A37" t="inlineStr">
        <is>
          <t>Cash Scholarship &amp; Prizes</t>
        </is>
      </c>
      <c r="B37" s="5" t="n">
        <v>1000</v>
      </c>
      <c r="C37" s="5" t="n">
        <v>1750</v>
      </c>
      <c r="D37" s="6" t="n"/>
      <c r="E37" t="inlineStr">
        <is>
          <t>+ $8,000 in courses donated by FABRIC</t>
        </is>
      </c>
    </row>
    <row r="38">
      <c r="A38" t="inlineStr">
        <is>
          <t>Printing (Cards, Flyers, Posters, Tickets, Program)</t>
        </is>
      </c>
      <c r="B38" s="5" t="n">
        <v>786</v>
      </c>
      <c r="C38" s="5" t="n">
        <v>1420</v>
      </c>
      <c r="D38" s="6" t="n"/>
      <c r="E38" t="inlineStr">
        <is>
          <t>The printed program is the big one</t>
        </is>
      </c>
    </row>
    <row r="39">
      <c r="A39" t="inlineStr">
        <is>
          <t>Website Hosting &amp; Social Scheduling</t>
        </is>
      </c>
      <c r="B39" s="5" t="n">
        <v>366</v>
      </c>
      <c r="C39" s="5" t="n">
        <v>296</v>
      </c>
      <c r="D39" s="6" t="n"/>
    </row>
    <row r="40">
      <c r="A40" t="inlineStr">
        <is>
          <t>Pop-Up Events</t>
        </is>
      </c>
      <c r="B40" s="5" t="n">
        <v>500</v>
      </c>
      <c r="C40" s="5" t="n">
        <v>400</v>
      </c>
      <c r="D40" s="6" t="n"/>
      <c r="E40" t="inlineStr">
        <is>
          <t>Workshop teachers</t>
        </is>
      </c>
    </row>
    <row r="41">
      <c r="A41" s="2" t="inlineStr">
        <is>
          <t>Subtotal</t>
        </is>
      </c>
      <c r="B41" s="7">
        <f>SUM(B37:B40)</f>
        <v/>
      </c>
      <c r="C41" s="7">
        <f>SUM(C37:C40)</f>
        <v/>
      </c>
      <c r="D41" s="7">
        <f>SUM(D37:D40)</f>
        <v/>
      </c>
      <c r="E41" s="2" t="n"/>
    </row>
    <row r="42">
      <c r="A42" s="2" t="inlineStr">
        <is>
          <t>TOTAL EXPENSES</t>
        </is>
      </c>
      <c r="B42" s="7">
        <f>B20+B35+B41</f>
        <v/>
      </c>
      <c r="C42" s="7">
        <f>C20+C35+C41</f>
        <v/>
      </c>
      <c r="D42" s="7">
        <f>D20+D35+D41</f>
        <v/>
      </c>
      <c r="E42" s="2" t="n"/>
    </row>
    <row r="43">
      <c r="A43" s="2" t="inlineStr">
        <is>
          <t>NET</t>
        </is>
      </c>
      <c r="B43" s="7">
        <f>B14-B42</f>
        <v/>
      </c>
      <c r="C43" s="7">
        <f>C14-C42</f>
        <v/>
      </c>
      <c r="D43" s="7">
        <f>D14-D42</f>
        <v/>
      </c>
      <c r="E43" s="2" t="n"/>
    </row>
    <row r="44"/>
    <row r="45">
      <c r="A45" s="10" t="inlineStr">
        <is>
          <t>YEAR 1 (2024), Cash vs. Donated</t>
        </is>
      </c>
    </row>
    <row r="46">
      <c r="A46" t="inlineStr">
        <is>
          <t>Cash Spent</t>
        </is>
      </c>
      <c r="B46" s="11" t="n">
        <v>2770</v>
      </c>
      <c r="E46" t="inlineStr">
        <is>
          <t>Food, supplies, printing, VIP party</t>
        </is>
      </c>
    </row>
    <row r="47">
      <c r="A47" t="inlineStr">
        <is>
          <t>Donated</t>
        </is>
      </c>
      <c r="B47" s="11" t="n">
        <v>6100</v>
      </c>
      <c r="E47" t="inlineStr">
        <is>
          <t>Venue, sound / DJ, production help</t>
        </is>
      </c>
    </row>
    <row r="48">
      <c r="A48" t="inlineStr">
        <is>
          <t>Traded</t>
        </is>
      </c>
      <c r="B48" s="11" t="n">
        <v>997</v>
      </c>
      <c r="E48" t="inlineStr">
        <is>
          <t>Venue hours swapped for services</t>
        </is>
      </c>
    </row>
    <row r="49">
      <c r="A49" t="inlineStr">
        <is>
          <t>Value of the First Show</t>
        </is>
      </c>
      <c r="B49" s="11" t="n">
        <v>10155</v>
      </c>
      <c r="E49" t="inlineStr">
        <is>
          <t>Before discounts and donations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44" customWidth="1" min="5" max="5"/>
  </cols>
  <sheetData>
    <row r="1">
      <c r="A1" s="1" t="inlineStr">
        <is>
          <t>Plan by size: change the yellow cells, the rest works itself out</t>
        </is>
      </c>
    </row>
    <row r="2"/>
    <row r="3">
      <c r="A3" s="10" t="inlineStr"/>
      <c r="B3" s="10" t="inlineStr">
        <is>
          <t>Small</t>
        </is>
      </c>
      <c r="C3" s="10" t="inlineStr">
        <is>
          <t>Medium</t>
        </is>
      </c>
      <c r="D3" s="10" t="inlineStr">
        <is>
          <t>Large</t>
        </is>
      </c>
      <c r="E3" s="10" t="inlineStr">
        <is>
          <t>Notes</t>
        </is>
      </c>
    </row>
    <row r="4">
      <c r="A4" s="3" t="inlineStr">
        <is>
          <t>INPUTS</t>
        </is>
      </c>
      <c r="B4" s="12" t="n"/>
      <c r="C4" s="12" t="n"/>
      <c r="D4" s="12" t="n"/>
      <c r="E4" s="12" t="n"/>
    </row>
    <row r="5">
      <c r="A5" t="inlineStr">
        <is>
          <t>Designers</t>
        </is>
      </c>
      <c r="B5" s="13" t="n">
        <v>20</v>
      </c>
      <c r="C5" s="13" t="n">
        <v>30</v>
      </c>
      <c r="D5" s="13" t="n">
        <v>40</v>
      </c>
      <c r="E5" t="inlineStr">
        <is>
          <t>Create-a-Thon participants</t>
        </is>
      </c>
    </row>
    <row r="6">
      <c r="A6" t="inlineStr">
        <is>
          <t>Designer Registration</t>
        </is>
      </c>
      <c r="B6" s="14" t="n">
        <v>100</v>
      </c>
      <c r="C6" s="14" t="n">
        <v>100</v>
      </c>
      <c r="D6" s="14" t="n">
        <v>100</v>
      </c>
      <c r="E6" t="inlineStr">
        <is>
          <t>Per designer</t>
        </is>
      </c>
    </row>
    <row r="7">
      <c r="A7" t="inlineStr">
        <is>
          <t>Regular Tickets Sold</t>
        </is>
      </c>
      <c r="B7" s="13" t="n">
        <v>20</v>
      </c>
      <c r="C7" s="13" t="n">
        <v>30</v>
      </c>
      <c r="D7" s="13" t="n">
        <v>40</v>
      </c>
      <c r="E7" t="inlineStr">
        <is>
          <t>About one per designer to start</t>
        </is>
      </c>
    </row>
    <row r="8">
      <c r="A8" t="inlineStr">
        <is>
          <t>Regular Ticket Price</t>
        </is>
      </c>
      <c r="B8" s="14" t="n">
        <v>33</v>
      </c>
      <c r="C8" s="14" t="n">
        <v>33</v>
      </c>
      <c r="D8" s="14" t="n">
        <v>33</v>
      </c>
    </row>
    <row r="9">
      <c r="A9" t="inlineStr">
        <is>
          <t>VIP Tickets Sold</t>
        </is>
      </c>
      <c r="B9" s="13" t="n">
        <v>10</v>
      </c>
      <c r="C9" s="13" t="n">
        <v>15</v>
      </c>
      <c r="D9" s="13" t="n">
        <v>20</v>
      </c>
    </row>
    <row r="10">
      <c r="A10" t="inlineStr">
        <is>
          <t>VIP Ticket Price</t>
        </is>
      </c>
      <c r="B10" s="14" t="n">
        <v>75</v>
      </c>
      <c r="C10" s="14" t="n">
        <v>75</v>
      </c>
      <c r="D10" s="14" t="n">
        <v>75</v>
      </c>
      <c r="E10" t="inlineStr">
        <is>
          <t>Includes the pre-show reception</t>
        </is>
      </c>
    </row>
    <row r="11">
      <c r="A11" t="inlineStr">
        <is>
          <t>Food per Designer, Whole Weekend</t>
        </is>
      </c>
      <c r="B11" s="14" t="n">
        <v>65</v>
      </c>
      <c r="C11" s="14" t="n">
        <v>100</v>
      </c>
      <c r="D11" s="14" t="n">
        <v>130</v>
      </c>
      <c r="E11" t="inlineStr">
        <is>
          <t>Dinner, lunch, breakfast, snacks</t>
        </is>
      </c>
    </row>
    <row r="12">
      <c r="A12" t="inlineStr">
        <is>
          <t>Supplies per Designer</t>
        </is>
      </c>
      <c r="B12" s="14" t="n">
        <v>75</v>
      </c>
      <c r="C12" s="14" t="n">
        <v>75</v>
      </c>
      <c r="D12" s="14" t="n">
        <v>75</v>
      </c>
      <c r="E12" t="inlineStr">
        <is>
          <t>Thread, notions, irons, scissors</t>
        </is>
      </c>
    </row>
    <row r="13">
      <c r="A13" t="inlineStr">
        <is>
          <t>Location</t>
        </is>
      </c>
      <c r="B13" s="14" t="n">
        <v>500</v>
      </c>
      <c r="C13" s="14" t="n">
        <v>500</v>
      </c>
      <c r="D13" s="14" t="n">
        <v>500</v>
      </c>
      <c r="E13" t="inlineStr">
        <is>
          <t>Often donated</t>
        </is>
      </c>
    </row>
    <row r="14">
      <c r="A14" t="inlineStr">
        <is>
          <t>Other Fixed Costs</t>
        </is>
      </c>
      <c r="B14" s="14" t="n">
        <v>200</v>
      </c>
      <c r="C14" s="14" t="n">
        <v>200</v>
      </c>
      <c r="D14" s="14" t="n">
        <v>200</v>
      </c>
      <c r="E14" t="inlineStr">
        <is>
          <t>Cake, signs, small items</t>
        </is>
      </c>
    </row>
    <row r="15">
      <c r="A15" s="3" t="inlineStr">
        <is>
          <t>INCOME</t>
        </is>
      </c>
      <c r="B15" s="12" t="n"/>
      <c r="C15" s="12" t="n"/>
      <c r="D15" s="12" t="n"/>
      <c r="E15" s="12" t="n"/>
    </row>
    <row r="16">
      <c r="A16" t="inlineStr">
        <is>
          <t>Registrations</t>
        </is>
      </c>
      <c r="B16" s="11">
        <f>B5*B6</f>
        <v/>
      </c>
      <c r="C16" s="11">
        <f>C5*C6</f>
        <v/>
      </c>
      <c r="D16" s="11">
        <f>D5*D6</f>
        <v/>
      </c>
    </row>
    <row r="17">
      <c r="A17" t="inlineStr">
        <is>
          <t>Tickets</t>
        </is>
      </c>
      <c r="B17" s="11">
        <f>B7*B8+B9*B10</f>
        <v/>
      </c>
      <c r="C17" s="11">
        <f>C7*C8+C9*C10</f>
        <v/>
      </c>
      <c r="D17" s="11">
        <f>D7*D8+D9*D10</f>
        <v/>
      </c>
    </row>
    <row r="18">
      <c r="A18" s="10" t="inlineStr">
        <is>
          <t>Total Income</t>
        </is>
      </c>
      <c r="B18" s="15">
        <f>B16+B17</f>
        <v/>
      </c>
      <c r="C18" s="15">
        <f>C16+C17</f>
        <v/>
      </c>
      <c r="D18" s="15">
        <f>D16+D17</f>
        <v/>
      </c>
    </row>
    <row r="19">
      <c r="A19" s="3" t="inlineStr">
        <is>
          <t>COSTS</t>
        </is>
      </c>
      <c r="B19" s="12" t="n"/>
      <c r="C19" s="12" t="n"/>
      <c r="D19" s="12" t="n"/>
      <c r="E19" s="12" t="n"/>
    </row>
    <row r="20">
      <c r="A20" t="inlineStr">
        <is>
          <t>Food</t>
        </is>
      </c>
      <c r="B20" s="11">
        <f>B5*B11</f>
        <v/>
      </c>
      <c r="C20" s="11">
        <f>C5*C11</f>
        <v/>
      </c>
      <c r="D20" s="11">
        <f>D5*D11</f>
        <v/>
      </c>
    </row>
    <row r="21">
      <c r="A21" t="inlineStr">
        <is>
          <t>Supplies</t>
        </is>
      </c>
      <c r="B21" s="11">
        <f>B5*B12</f>
        <v/>
      </c>
      <c r="C21" s="11">
        <f>C5*C12</f>
        <v/>
      </c>
      <c r="D21" s="11">
        <f>D5*D12</f>
        <v/>
      </c>
    </row>
    <row r="22">
      <c r="A22" t="inlineStr">
        <is>
          <t>Location</t>
        </is>
      </c>
      <c r="B22" s="11">
        <f>B13</f>
        <v/>
      </c>
      <c r="C22" s="11">
        <f>C13</f>
        <v/>
      </c>
      <c r="D22" s="11">
        <f>D13</f>
        <v/>
      </c>
    </row>
    <row r="23">
      <c r="A23" t="inlineStr">
        <is>
          <t>Other</t>
        </is>
      </c>
      <c r="B23" s="11">
        <f>B14</f>
        <v/>
      </c>
      <c r="C23" s="11">
        <f>C14</f>
        <v/>
      </c>
      <c r="D23" s="11">
        <f>D14</f>
        <v/>
      </c>
    </row>
    <row r="24">
      <c r="A24" s="10" t="inlineStr">
        <is>
          <t>Total Costs</t>
        </is>
      </c>
      <c r="B24" s="15">
        <f>SUM(B20:B23)</f>
        <v/>
      </c>
      <c r="C24" s="15">
        <f>SUM(C20:C23)</f>
        <v/>
      </c>
      <c r="D24" s="15">
        <f>SUM(D20:D23)</f>
        <v/>
      </c>
    </row>
    <row r="25">
      <c r="A25" s="3" t="inlineStr">
        <is>
          <t>RESULT</t>
        </is>
      </c>
      <c r="B25" s="12" t="n"/>
      <c r="C25" s="12" t="n"/>
      <c r="D25" s="12" t="n"/>
      <c r="E25" s="12" t="n"/>
    </row>
    <row r="26">
      <c r="A26" s="10" t="inlineStr">
        <is>
          <t>Cost per Designer</t>
        </is>
      </c>
      <c r="B26" s="15">
        <f>B24/B5</f>
        <v/>
      </c>
      <c r="C26" s="15">
        <f>C24/C5</f>
        <v/>
      </c>
      <c r="D26" s="15">
        <f>D24/D5</f>
        <v/>
      </c>
      <c r="E26" t="inlineStr">
        <is>
          <t>What each designer costs to host</t>
        </is>
      </c>
    </row>
    <row r="27">
      <c r="A27" s="10" t="inlineStr">
        <is>
          <t>Sponsorship Needed</t>
        </is>
      </c>
      <c r="B27" s="15">
        <f>MAX(0,B24-B18)</f>
        <v/>
      </c>
      <c r="C27" s="15">
        <f>MAX(0,C24-C18)</f>
        <v/>
      </c>
      <c r="D27" s="15">
        <f>MAX(0,D24-D18)</f>
        <v/>
      </c>
      <c r="E27" t="inlineStr">
        <is>
          <t>The gap sponsors, ads and vendors fill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min="2" max="2"/>
    <col width="70" customWidth="1" min="3" max="3"/>
  </cols>
  <sheetData>
    <row r="1">
      <c r="A1" t="inlineStr">
        <is>
          <t>#</t>
        </is>
      </c>
      <c r="B1" t="inlineStr">
        <is>
          <t>Role</t>
        </is>
      </c>
      <c r="C1" t="inlineStr">
        <is>
          <t>Owns</t>
        </is>
      </c>
    </row>
    <row r="2">
      <c r="A2" t="n">
        <v>1</v>
      </c>
      <c r="B2" t="inlineStr">
        <is>
          <t>Producer</t>
        </is>
      </c>
      <c r="C2" t="inlineStr">
        <is>
          <t>Vision, budget, calendar, grants, underwriters, contracts</t>
        </is>
      </c>
    </row>
    <row r="3">
      <c r="A3" t="n">
        <v>2</v>
      </c>
      <c r="B3" t="inlineStr">
        <is>
          <t>Creative Director &amp; Runway Producer</t>
        </is>
      </c>
      <c r="C3" t="inlineStr">
        <is>
          <t>Show line-up, rehearsal, music, MC, model call, how-to-model classes</t>
        </is>
      </c>
    </row>
    <row r="4">
      <c r="A4" t="n">
        <v>3</v>
      </c>
      <c r="B4" t="inlineStr">
        <is>
          <t>Create-a-Thon Lead</t>
        </is>
      </c>
      <c r="C4" t="inlineStr">
        <is>
          <t>Designer registration, fabric drive, food, crews, judging hand-in</t>
        </is>
      </c>
    </row>
    <row r="5">
      <c r="A5" t="n">
        <v>4</v>
      </c>
      <c r="B5" t="inlineStr">
        <is>
          <t>Sensational Sedonans &amp; Boutique Lead</t>
        </is>
      </c>
      <c r="C5" t="inlineStr">
        <is>
          <t>12 local celebrities, 3 boutiques, fittings, dressers</t>
        </is>
      </c>
    </row>
    <row r="6">
      <c r="A6" t="n">
        <v>5</v>
      </c>
      <c r="B6" t="inlineStr">
        <is>
          <t>Website &amp; Program Lead</t>
        </is>
      </c>
      <c r="C6" t="inlineStr">
        <is>
          <t>Website, posters, flyers, tickets, signage, program, sponsor wall</t>
        </is>
      </c>
    </row>
    <row r="7">
      <c r="A7" t="n">
        <v>6</v>
      </c>
      <c r="B7" t="inlineStr">
        <is>
          <t>Social Media &amp; Press Lead</t>
        </is>
      </c>
      <c r="C7" t="inlineStr">
        <is>
          <t>Posts, press, hashtags, photographer and videographer</t>
        </is>
      </c>
    </row>
    <row r="8">
      <c r="A8" t="n">
        <v>7</v>
      </c>
      <c r="B8" t="inlineStr">
        <is>
          <t>Pop-Ups &amp; Workshops Lead</t>
        </is>
      </c>
      <c r="C8" t="inlineStr">
        <is>
          <t>One workshop a month: host, space, teacher</t>
        </is>
      </c>
    </row>
    <row r="9">
      <c r="A9" t="n">
        <v>8</v>
      </c>
      <c r="B9" t="inlineStr">
        <is>
          <t>Volunteers, Raffle &amp; Logistics Lead</t>
        </is>
      </c>
      <c r="C9" t="inlineStr">
        <is>
          <t>Venue, insurance, parking, reception, lanyards, raffle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t="inlineStr">
        <is>
          <t>When</t>
        </is>
      </c>
      <c r="B1" t="inlineStr">
        <is>
          <t>What</t>
        </is>
      </c>
    </row>
    <row r="2">
      <c r="A2" t="inlineStr">
        <is>
          <t>6 months out</t>
        </is>
      </c>
      <c r="B2" t="inlineStr">
        <is>
          <t>Venue, show date, Create-a-Thon weekend (one week before), update contracts, budget, city grant, ticketing, core team of 8</t>
        </is>
      </c>
    </row>
    <row r="3">
      <c r="A3" t="inlineStr">
        <is>
          <t>5–4 months out</t>
        </is>
      </c>
      <c r="B3" t="inlineStr">
        <is>
          <t>Pop-ups start; sign underwriter and 3 boutiques; website and Instagram live</t>
        </is>
      </c>
    </row>
    <row r="4">
      <c r="A4" t="inlineStr">
        <is>
          <t>3 months out</t>
        </is>
      </c>
      <c r="B4" t="inlineStr">
        <is>
          <t>Designer registration opens ($100); recruit 12 Sensational Sedonans; sell ads and vendor tables; print cards, flyers, posters</t>
        </is>
      </c>
    </row>
    <row r="5">
      <c r="A5" t="inlineStr">
        <is>
          <t>2 months out</t>
        </is>
      </c>
      <c r="B5" t="inlineStr">
        <is>
          <t>Early-bird tickets; model call; how-to-model classes; press release; raffle items</t>
        </is>
      </c>
    </row>
    <row r="6">
      <c r="A6" t="inlineStr">
        <is>
          <t>Show week −1</t>
        </is>
      </c>
      <c r="B6" t="inlineStr">
        <is>
          <t>48 Hour Create-a-Thon Fri 6pm – Sun 5pm; hand-in Sunday 3pm; Sensational Sedonan fittings</t>
        </is>
      </c>
    </row>
    <row r="7">
      <c r="A7" t="inlineStr">
        <is>
          <t>Show day</t>
        </is>
      </c>
      <c r="B7" t="inlineStr">
        <is>
          <t>11am rehearsal · 1pm hair &amp; makeup · 4pm VIP doors · 5pm show · 7pm vendor sales · 8pm out; raffle while judges decide; after party</t>
        </is>
      </c>
    </row>
    <row r="8">
      <c r="A8" t="inlineStr">
        <is>
          <t>After</t>
        </is>
      </c>
      <c r="B8" t="inlineStr">
        <is>
          <t>Photos and video out in two weeks; sponsor thank-yous; city report; lessons meeting; book next year's venue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2026-10-12T20:11:51Z</dcterms:created>
  <dcterms:modified xmlns:dcterms="http://purl.org/dc/terms/" xmlns:xsi="http://www.w3.org/2001/XMLSchema-instance" xsi:type="dcterms:W3CDTF">2026-10-22T20:16:05Z</dcterms:modified>
</cp:coreProperties>
</file>